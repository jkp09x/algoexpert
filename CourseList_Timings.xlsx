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gar.patel/Documents/Tutorials/AlgoExpert/"/>
    </mc:Choice>
  </mc:AlternateContent>
  <xr:revisionPtr revIDLastSave="0" documentId="13_ncr:1_{1546D4D6-598F-6441-B52D-BC12979C6793}" xr6:coauthVersionLast="47" xr6:coauthVersionMax="47" xr10:uidLastSave="{00000000-0000-0000-0000-000000000000}"/>
  <bookViews>
    <workbookView xWindow="0" yWindow="740" windowWidth="34560" windowHeight="21600" xr2:uid="{6B3061CF-5C98-2B4A-B31C-5ACD67395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1" l="1"/>
  <c r="D16" i="1" s="1"/>
  <c r="B15" i="1"/>
  <c r="D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  <c r="B7" i="1"/>
  <c r="D7" i="1" s="1"/>
  <c r="B6" i="1"/>
  <c r="D6" i="1" s="1"/>
  <c r="B5" i="1"/>
  <c r="D5" i="1" s="1"/>
  <c r="B4" i="1"/>
  <c r="D4" i="1" s="1"/>
  <c r="G5" i="1"/>
  <c r="G6" i="1"/>
  <c r="G7" i="1"/>
  <c r="G16" i="1"/>
  <c r="G17" i="1"/>
  <c r="G25" i="1"/>
  <c r="G26" i="1"/>
  <c r="G27" i="1"/>
  <c r="E28" i="1"/>
  <c r="G28" i="1" s="1"/>
  <c r="E27" i="1"/>
  <c r="E26" i="1"/>
  <c r="E25" i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E16" i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E6" i="1"/>
  <c r="E5" i="1"/>
  <c r="E4" i="1"/>
  <c r="E29" i="1" l="1"/>
  <c r="B29" i="1"/>
  <c r="D29" i="1" s="1"/>
  <c r="G4" i="1"/>
  <c r="G29" i="1" s="1"/>
</calcChain>
</file>

<file path=xl/sharedStrings.xml><?xml version="1.0" encoding="utf-8"?>
<sst xmlns="http://schemas.openxmlformats.org/spreadsheetml/2006/main" count="70" uniqueCount="32">
  <si>
    <t>Data Structures Course</t>
  </si>
  <si>
    <t>Length</t>
  </si>
  <si>
    <t>Done</t>
  </si>
  <si>
    <t>Total Time</t>
  </si>
  <si>
    <t>Systems Design Fundamentals</t>
  </si>
  <si>
    <t>Video 1</t>
  </si>
  <si>
    <t>Video 2</t>
  </si>
  <si>
    <t>Video 3</t>
  </si>
  <si>
    <t>Video 4</t>
  </si>
  <si>
    <t>Video 5</t>
  </si>
  <si>
    <t>Video 6</t>
  </si>
  <si>
    <t>Video 7</t>
  </si>
  <si>
    <t>Video 8</t>
  </si>
  <si>
    <t>Video 9</t>
  </si>
  <si>
    <t>Video 10</t>
  </si>
  <si>
    <t>Video 11</t>
  </si>
  <si>
    <t>Video 12</t>
  </si>
  <si>
    <t>Video 13</t>
  </si>
  <si>
    <t>Video 14</t>
  </si>
  <si>
    <t>Video 15</t>
  </si>
  <si>
    <t>Video 16</t>
  </si>
  <si>
    <t>Video 17</t>
  </si>
  <si>
    <t>Video 18</t>
  </si>
  <si>
    <t>Video 19</t>
  </si>
  <si>
    <t>Video 20</t>
  </si>
  <si>
    <t>Video 21</t>
  </si>
  <si>
    <t>Video 22</t>
  </si>
  <si>
    <t>Video 23</t>
  </si>
  <si>
    <t>Video 24</t>
  </si>
  <si>
    <t>Video 25</t>
  </si>
  <si>
    <t>-</t>
  </si>
  <si>
    <t>SEE ONENOTE FOR ALL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</si>
</sst>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03A0-46E8-2648-8E80-A11C8793D14A}">
  <dimension ref="A1:G29"/>
  <sheetViews>
    <sheetView tabSelected="1" workbookViewId="0">
      <selection activeCell="I18" sqref="I18"/>
    </sheetView>
  </sheetViews>
  <sheetFormatPr baseColWidth="10" defaultRowHeight="16" x14ac:dyDescent="0.2"/>
  <cols>
    <col min="7" max="7" width="10" bestFit="1" customWidth="1"/>
  </cols>
  <sheetData>
    <row r="1" spans="1:7" ht="16" customHeight="1" x14ac:dyDescent="0.2">
      <c r="A1" s="2" t="s">
        <v>31</v>
      </c>
      <c r="B1" s="2"/>
      <c r="C1" s="2"/>
      <c r="D1" s="2"/>
      <c r="E1" s="2"/>
      <c r="F1" s="2"/>
      <c r="G1" s="2"/>
    </row>
    <row r="2" spans="1:7" x14ac:dyDescent="0.2">
      <c r="B2" s="2" t="s">
        <v>0</v>
      </c>
      <c r="C2" s="2"/>
      <c r="D2" s="2"/>
      <c r="E2" s="2" t="s">
        <v>4</v>
      </c>
      <c r="F2" s="2"/>
      <c r="G2" s="2"/>
    </row>
    <row r="3" spans="1:7" x14ac:dyDescent="0.2">
      <c r="B3" t="s">
        <v>1</v>
      </c>
      <c r="C3" t="s">
        <v>2</v>
      </c>
      <c r="D3" t="s">
        <v>3</v>
      </c>
      <c r="E3" t="s">
        <v>1</v>
      </c>
      <c r="F3" t="s">
        <v>2</v>
      </c>
      <c r="G3" t="s">
        <v>3</v>
      </c>
    </row>
    <row r="4" spans="1:7" x14ac:dyDescent="0.2">
      <c r="A4" t="s">
        <v>5</v>
      </c>
      <c r="B4">
        <f>5*60+16</f>
        <v>316</v>
      </c>
      <c r="C4">
        <v>1</v>
      </c>
      <c r="D4" s="1">
        <f>(B4*C4)/(60*60*24)</f>
        <v>3.6574074074074074E-3</v>
      </c>
      <c r="E4">
        <f>3*60+40</f>
        <v>220</v>
      </c>
      <c r="F4">
        <v>0</v>
      </c>
      <c r="G4" s="1">
        <f>(E4*F4)/(60*60*24)</f>
        <v>0</v>
      </c>
    </row>
    <row r="5" spans="1:7" x14ac:dyDescent="0.2">
      <c r="A5" t="s">
        <v>6</v>
      </c>
      <c r="B5">
        <f>8*60+29</f>
        <v>509</v>
      </c>
      <c r="C5">
        <v>1</v>
      </c>
      <c r="D5" s="1">
        <f t="shared" ref="D5:D16" si="0">(B5*C5)/(60*60*24)</f>
        <v>5.8912037037037041E-3</v>
      </c>
      <c r="E5">
        <f>8*60+26</f>
        <v>506</v>
      </c>
      <c r="F5">
        <v>0</v>
      </c>
      <c r="G5" s="1">
        <f t="shared" ref="G5:G28" si="1">(E5*F5)/(60*60*24)</f>
        <v>0</v>
      </c>
    </row>
    <row r="6" spans="1:7" x14ac:dyDescent="0.2">
      <c r="A6" t="s">
        <v>7</v>
      </c>
      <c r="B6">
        <f>8*60+5</f>
        <v>485</v>
      </c>
      <c r="C6">
        <v>1</v>
      </c>
      <c r="D6" s="1">
        <f t="shared" si="0"/>
        <v>5.6134259259259262E-3</v>
      </c>
      <c r="E6">
        <f>14*60+31</f>
        <v>871</v>
      </c>
      <c r="F6">
        <v>0</v>
      </c>
      <c r="G6" s="1">
        <f t="shared" si="1"/>
        <v>0</v>
      </c>
    </row>
    <row r="7" spans="1:7" x14ac:dyDescent="0.2">
      <c r="A7" t="s">
        <v>8</v>
      </c>
      <c r="B7">
        <f>27*60+45</f>
        <v>1665</v>
      </c>
      <c r="C7">
        <v>1</v>
      </c>
      <c r="D7" s="1">
        <f t="shared" si="0"/>
        <v>1.9270833333333334E-2</v>
      </c>
      <c r="E7">
        <f>28*60+55</f>
        <v>1735</v>
      </c>
      <c r="F7">
        <v>0</v>
      </c>
      <c r="G7" s="1">
        <f t="shared" si="1"/>
        <v>0</v>
      </c>
    </row>
    <row r="8" spans="1:7" x14ac:dyDescent="0.2">
      <c r="A8" t="s">
        <v>9</v>
      </c>
      <c r="B8">
        <f>37*60+10</f>
        <v>2230</v>
      </c>
      <c r="C8">
        <v>1</v>
      </c>
      <c r="D8" s="1">
        <f t="shared" si="0"/>
        <v>2.5810185185185186E-2</v>
      </c>
      <c r="E8">
        <f>17*60+40</f>
        <v>1060</v>
      </c>
      <c r="F8">
        <v>0</v>
      </c>
      <c r="G8" s="1">
        <f t="shared" si="1"/>
        <v>0</v>
      </c>
    </row>
    <row r="9" spans="1:7" x14ac:dyDescent="0.2">
      <c r="A9" t="s">
        <v>10</v>
      </c>
      <c r="B9">
        <f>20*60+14</f>
        <v>1214</v>
      </c>
      <c r="C9">
        <v>1</v>
      </c>
      <c r="D9" s="1">
        <f t="shared" si="0"/>
        <v>1.4050925925925927E-2</v>
      </c>
      <c r="E9">
        <f>16*60+41</f>
        <v>1001</v>
      </c>
      <c r="F9">
        <v>0</v>
      </c>
      <c r="G9" s="1">
        <f t="shared" si="1"/>
        <v>0</v>
      </c>
    </row>
    <row r="10" spans="1:7" x14ac:dyDescent="0.2">
      <c r="A10" t="s">
        <v>11</v>
      </c>
      <c r="B10">
        <f>42*60+18</f>
        <v>2538</v>
      </c>
      <c r="C10">
        <v>0</v>
      </c>
      <c r="D10" s="1">
        <f t="shared" si="0"/>
        <v>0</v>
      </c>
      <c r="E10">
        <f>25*60+54</f>
        <v>1554</v>
      </c>
      <c r="F10">
        <v>0</v>
      </c>
      <c r="G10" s="1">
        <f t="shared" si="1"/>
        <v>0</v>
      </c>
    </row>
    <row r="11" spans="1:7" x14ac:dyDescent="0.2">
      <c r="A11" t="s">
        <v>12</v>
      </c>
      <c r="B11">
        <f>30*60+41</f>
        <v>1841</v>
      </c>
      <c r="C11">
        <v>0</v>
      </c>
      <c r="D11" s="1">
        <f t="shared" si="0"/>
        <v>0</v>
      </c>
      <c r="E11">
        <f>27*60+46</f>
        <v>1666</v>
      </c>
      <c r="F11">
        <v>0</v>
      </c>
      <c r="G11" s="1">
        <f t="shared" si="1"/>
        <v>0</v>
      </c>
    </row>
    <row r="12" spans="1:7" x14ac:dyDescent="0.2">
      <c r="A12" t="s">
        <v>13</v>
      </c>
      <c r="B12">
        <f>25*60+2</f>
        <v>1502</v>
      </c>
      <c r="C12">
        <v>0</v>
      </c>
      <c r="D12" s="1">
        <f t="shared" si="0"/>
        <v>0</v>
      </c>
      <c r="E12">
        <f>17*60+14</f>
        <v>1034</v>
      </c>
      <c r="F12">
        <v>0</v>
      </c>
      <c r="G12" s="1">
        <f t="shared" si="1"/>
        <v>0</v>
      </c>
    </row>
    <row r="13" spans="1:7" x14ac:dyDescent="0.2">
      <c r="A13" t="s">
        <v>14</v>
      </c>
      <c r="B13">
        <f>13*60+23</f>
        <v>803</v>
      </c>
      <c r="C13">
        <v>0</v>
      </c>
      <c r="D13" s="1">
        <f t="shared" si="0"/>
        <v>0</v>
      </c>
      <c r="E13">
        <f>24*60+52</f>
        <v>1492</v>
      </c>
      <c r="F13">
        <v>0</v>
      </c>
      <c r="G13" s="1">
        <f t="shared" si="1"/>
        <v>0</v>
      </c>
    </row>
    <row r="14" spans="1:7" x14ac:dyDescent="0.2">
      <c r="A14" t="s">
        <v>15</v>
      </c>
      <c r="B14">
        <f>10*60+9</f>
        <v>609</v>
      </c>
      <c r="C14">
        <v>0</v>
      </c>
      <c r="D14" s="1">
        <f t="shared" si="0"/>
        <v>0</v>
      </c>
      <c r="E14">
        <f>37*60+55</f>
        <v>2275</v>
      </c>
      <c r="F14">
        <v>0</v>
      </c>
      <c r="G14" s="1">
        <f t="shared" si="1"/>
        <v>0</v>
      </c>
    </row>
    <row r="15" spans="1:7" x14ac:dyDescent="0.2">
      <c r="A15" t="s">
        <v>16</v>
      </c>
      <c r="B15">
        <f>18*60+51</f>
        <v>1131</v>
      </c>
      <c r="C15">
        <v>0</v>
      </c>
      <c r="D15" s="1">
        <f t="shared" si="0"/>
        <v>0</v>
      </c>
      <c r="E15">
        <f>38*60</f>
        <v>2280</v>
      </c>
      <c r="F15">
        <v>0</v>
      </c>
      <c r="G15" s="1">
        <f t="shared" si="1"/>
        <v>0</v>
      </c>
    </row>
    <row r="16" spans="1:7" x14ac:dyDescent="0.2">
      <c r="A16" t="s">
        <v>17</v>
      </c>
      <c r="B16">
        <f>20*60+24</f>
        <v>1224</v>
      </c>
      <c r="C16">
        <v>0</v>
      </c>
      <c r="D16" s="1">
        <f t="shared" si="0"/>
        <v>0</v>
      </c>
      <c r="E16">
        <f>10*60+48</f>
        <v>648</v>
      </c>
      <c r="F16">
        <v>0</v>
      </c>
      <c r="G16" s="1">
        <f t="shared" si="1"/>
        <v>0</v>
      </c>
    </row>
    <row r="17" spans="1:7" x14ac:dyDescent="0.2">
      <c r="A17" t="s">
        <v>18</v>
      </c>
      <c r="B17" t="s">
        <v>30</v>
      </c>
      <c r="C17" t="s">
        <v>30</v>
      </c>
      <c r="D17" s="1" t="s">
        <v>30</v>
      </c>
      <c r="E17">
        <f>32*60+30</f>
        <v>1950</v>
      </c>
      <c r="F17">
        <v>0</v>
      </c>
      <c r="G17" s="1">
        <f t="shared" si="1"/>
        <v>0</v>
      </c>
    </row>
    <row r="18" spans="1:7" x14ac:dyDescent="0.2">
      <c r="A18" t="s">
        <v>19</v>
      </c>
      <c r="B18" t="s">
        <v>30</v>
      </c>
      <c r="C18" t="s">
        <v>30</v>
      </c>
      <c r="D18" s="1" t="s">
        <v>30</v>
      </c>
      <c r="E18">
        <f>29*60+25</f>
        <v>1765</v>
      </c>
      <c r="F18">
        <v>0</v>
      </c>
      <c r="G18" s="1">
        <f t="shared" si="1"/>
        <v>0</v>
      </c>
    </row>
    <row r="19" spans="1:7" x14ac:dyDescent="0.2">
      <c r="A19" t="s">
        <v>20</v>
      </c>
      <c r="B19" t="s">
        <v>30</v>
      </c>
      <c r="C19" t="s">
        <v>30</v>
      </c>
      <c r="D19" s="1" t="s">
        <v>30</v>
      </c>
      <c r="E19">
        <f>30*60+24</f>
        <v>1824</v>
      </c>
      <c r="F19">
        <v>0</v>
      </c>
      <c r="G19" s="1">
        <f t="shared" si="1"/>
        <v>0</v>
      </c>
    </row>
    <row r="20" spans="1:7" x14ac:dyDescent="0.2">
      <c r="A20" t="s">
        <v>21</v>
      </c>
      <c r="B20" t="s">
        <v>30</v>
      </c>
      <c r="C20" t="s">
        <v>30</v>
      </c>
      <c r="D20" s="1" t="s">
        <v>30</v>
      </c>
      <c r="E20">
        <f>30*60+14</f>
        <v>1814</v>
      </c>
      <c r="F20">
        <v>0</v>
      </c>
      <c r="G20" s="1">
        <f t="shared" si="1"/>
        <v>0</v>
      </c>
    </row>
    <row r="21" spans="1:7" x14ac:dyDescent="0.2">
      <c r="A21" t="s">
        <v>22</v>
      </c>
      <c r="B21" t="s">
        <v>30</v>
      </c>
      <c r="C21" t="s">
        <v>30</v>
      </c>
      <c r="D21" s="1" t="s">
        <v>30</v>
      </c>
      <c r="E21">
        <f>26*60+1</f>
        <v>1561</v>
      </c>
      <c r="F21">
        <v>0</v>
      </c>
      <c r="G21" s="1">
        <f t="shared" si="1"/>
        <v>0</v>
      </c>
    </row>
    <row r="22" spans="1:7" x14ac:dyDescent="0.2">
      <c r="A22" t="s">
        <v>23</v>
      </c>
      <c r="B22" t="s">
        <v>30</v>
      </c>
      <c r="C22" t="s">
        <v>30</v>
      </c>
      <c r="D22" s="1" t="s">
        <v>30</v>
      </c>
      <c r="E22">
        <f>13*60+6</f>
        <v>786</v>
      </c>
      <c r="F22">
        <v>0</v>
      </c>
      <c r="G22" s="1">
        <f t="shared" si="1"/>
        <v>0</v>
      </c>
    </row>
    <row r="23" spans="1:7" x14ac:dyDescent="0.2">
      <c r="A23" t="s">
        <v>24</v>
      </c>
      <c r="B23" t="s">
        <v>30</v>
      </c>
      <c r="C23" t="s">
        <v>30</v>
      </c>
      <c r="D23" s="1" t="s">
        <v>30</v>
      </c>
      <c r="E23">
        <f>17*60+10</f>
        <v>1030</v>
      </c>
      <c r="F23">
        <v>0</v>
      </c>
      <c r="G23" s="1">
        <f t="shared" si="1"/>
        <v>0</v>
      </c>
    </row>
    <row r="24" spans="1:7" x14ac:dyDescent="0.2">
      <c r="A24" t="s">
        <v>25</v>
      </c>
      <c r="B24" t="s">
        <v>30</v>
      </c>
      <c r="C24" t="s">
        <v>30</v>
      </c>
      <c r="D24" s="1" t="s">
        <v>30</v>
      </c>
      <c r="E24">
        <f>12*60+1</f>
        <v>721</v>
      </c>
      <c r="F24">
        <v>0</v>
      </c>
      <c r="G24" s="1">
        <f t="shared" si="1"/>
        <v>0</v>
      </c>
    </row>
    <row r="25" spans="1:7" x14ac:dyDescent="0.2">
      <c r="A25" t="s">
        <v>26</v>
      </c>
      <c r="B25" t="s">
        <v>30</v>
      </c>
      <c r="C25" t="s">
        <v>30</v>
      </c>
      <c r="D25" s="1" t="s">
        <v>30</v>
      </c>
      <c r="E25">
        <f>37*60+47</f>
        <v>2267</v>
      </c>
      <c r="F25">
        <v>0</v>
      </c>
      <c r="G25" s="1">
        <f t="shared" si="1"/>
        <v>0</v>
      </c>
    </row>
    <row r="26" spans="1:7" x14ac:dyDescent="0.2">
      <c r="A26" t="s">
        <v>27</v>
      </c>
      <c r="B26" t="s">
        <v>30</v>
      </c>
      <c r="C26" t="s">
        <v>30</v>
      </c>
      <c r="D26" s="1" t="s">
        <v>30</v>
      </c>
      <c r="E26">
        <f>36*60+58</f>
        <v>2218</v>
      </c>
      <c r="F26">
        <v>0</v>
      </c>
      <c r="G26" s="1">
        <f t="shared" si="1"/>
        <v>0</v>
      </c>
    </row>
    <row r="27" spans="1:7" x14ac:dyDescent="0.2">
      <c r="A27" t="s">
        <v>28</v>
      </c>
      <c r="B27" t="s">
        <v>30</v>
      </c>
      <c r="C27" t="s">
        <v>30</v>
      </c>
      <c r="D27" s="1" t="s">
        <v>30</v>
      </c>
      <c r="E27">
        <f>36*60+5</f>
        <v>2165</v>
      </c>
      <c r="F27">
        <v>0</v>
      </c>
      <c r="G27" s="1">
        <f t="shared" si="1"/>
        <v>0</v>
      </c>
    </row>
    <row r="28" spans="1:7" x14ac:dyDescent="0.2">
      <c r="A28" t="s">
        <v>29</v>
      </c>
      <c r="B28" t="s">
        <v>30</v>
      </c>
      <c r="C28" t="s">
        <v>30</v>
      </c>
      <c r="D28" s="1" t="s">
        <v>30</v>
      </c>
      <c r="E28">
        <f>28*60+35</f>
        <v>1715</v>
      </c>
      <c r="F28">
        <v>0</v>
      </c>
      <c r="G28" s="1">
        <f t="shared" si="1"/>
        <v>0</v>
      </c>
    </row>
    <row r="29" spans="1:7" x14ac:dyDescent="0.2">
      <c r="B29" s="1">
        <f>SUM(B4:B28)/(60*60*24)</f>
        <v>0.18596064814814814</v>
      </c>
      <c r="D29" s="1">
        <f>B29-SUM(D4:D28)</f>
        <v>0.11166666666666665</v>
      </c>
      <c r="E29" s="1">
        <f>SUM(E4:E28)/(60*60*24)</f>
        <v>0.41849537037037038</v>
      </c>
      <c r="G29" s="1">
        <f>E29-SUM(G4:G28)</f>
        <v>0.41849537037037038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2022-05-07T16:04:43Z</dcterms:created>
  <dcterms:modified xsi:type="dcterms:W3CDTF">2022-05-08T20:34:16Z</dcterms:modified>
</cp:coreProperties>
</file>